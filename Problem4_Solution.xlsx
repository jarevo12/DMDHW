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B - Basic Model" sheetId="1" state="visible" r:id="rId1"/>
    <sheet xmlns:r="http://schemas.openxmlformats.org/officeDocument/2006/relationships" name="Part D - Extended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7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4" fillId="6" borderId="0" pivotButton="0" quotePrefix="0" xfId="0"/>
    <xf numFmtId="0" fontId="0" fillId="9" borderId="0" pivotButton="0" quotePrefix="0" xfId="0"/>
    <xf numFmtId="0" fontId="5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Problem 4 Part (b): Basic Worker Assignment Model</t>
        </is>
      </c>
    </row>
    <row r="3">
      <c r="A3" s="2" t="inlineStr">
        <is>
          <t>PARAMETERS</t>
        </is>
      </c>
    </row>
    <row r="5">
      <c r="A5" s="3" t="inlineStr">
        <is>
          <t>Worker</t>
        </is>
      </c>
      <c r="B5" s="3" t="inlineStr">
        <is>
          <t>Hourly Rate</t>
        </is>
      </c>
      <c r="C5" s="3" t="inlineStr">
        <is>
          <t>Hours Available</t>
        </is>
      </c>
      <c r="E5" s="3" t="inlineStr">
        <is>
          <t>Task</t>
        </is>
      </c>
      <c r="F5" s="3" t="inlineStr">
        <is>
          <t>Description</t>
        </is>
      </c>
      <c r="G5" s="3" t="inlineStr">
        <is>
          <t>Hours Required</t>
        </is>
      </c>
    </row>
    <row r="6">
      <c r="A6" t="inlineStr">
        <is>
          <t>Worker 1</t>
        </is>
      </c>
      <c r="B6" t="n">
        <v>20</v>
      </c>
      <c r="C6" t="n">
        <v>20</v>
      </c>
      <c r="E6" t="inlineStr">
        <is>
          <t>Task 1</t>
        </is>
      </c>
      <c r="F6" t="inlineStr">
        <is>
          <t>Structure building</t>
        </is>
      </c>
      <c r="G6" t="n">
        <v>20</v>
      </c>
    </row>
    <row r="7">
      <c r="A7" t="inlineStr">
        <is>
          <t>Worker 2</t>
        </is>
      </c>
      <c r="B7" t="n">
        <v>18</v>
      </c>
      <c r="C7" t="n">
        <v>18</v>
      </c>
      <c r="E7" t="inlineStr">
        <is>
          <t>Task 2</t>
        </is>
      </c>
      <c r="F7" t="inlineStr">
        <is>
          <t>Electrical wiring</t>
        </is>
      </c>
      <c r="G7" t="n">
        <v>15</v>
      </c>
    </row>
    <row r="8">
      <c r="A8" t="inlineStr">
        <is>
          <t>Worker 3</t>
        </is>
      </c>
      <c r="B8" t="n">
        <v>15</v>
      </c>
      <c r="C8" t="n">
        <v>15</v>
      </c>
    </row>
    <row r="9">
      <c r="A9" t="inlineStr">
        <is>
          <t>Worker 4</t>
        </is>
      </c>
      <c r="B9" t="n">
        <v>12</v>
      </c>
      <c r="C9" t="n">
        <v>10</v>
      </c>
    </row>
    <row r="11">
      <c r="A11" s="2" t="inlineStr">
        <is>
          <t>DECISION VARIABLES (Hours Worked)</t>
        </is>
      </c>
      <c r="F11" s="4" t="inlineStr">
        <is>
          <t>CONSTRAINTS SUMMARY</t>
        </is>
      </c>
    </row>
    <row r="13">
      <c r="A13" s="5" t="inlineStr">
        <is>
          <t>Worker</t>
        </is>
      </c>
      <c r="B13" s="5" t="inlineStr">
        <is>
          <t>Structure (Task 1)</t>
        </is>
      </c>
      <c r="C13" s="5" t="inlineStr">
        <is>
          <t>Electrical (Task 2)</t>
        </is>
      </c>
      <c r="D13" s="5" t="inlineStr">
        <is>
          <t>Total Hours Used</t>
        </is>
      </c>
      <c r="E13" s="5" t="inlineStr">
        <is>
          <t>Capacity</t>
        </is>
      </c>
      <c r="F13" s="3" t="inlineStr">
        <is>
          <t>Constraint</t>
        </is>
      </c>
      <c r="G13" s="3" t="inlineStr">
        <is>
          <t>Current</t>
        </is>
      </c>
      <c r="H13" s="3" t="inlineStr">
        <is>
          <t>Required</t>
        </is>
      </c>
    </row>
    <row r="14">
      <c r="A14" t="inlineStr">
        <is>
          <t>Worker 1</t>
        </is>
      </c>
      <c r="B14" s="6" t="n">
        <v>0</v>
      </c>
      <c r="C14" s="6" t="n">
        <v>0</v>
      </c>
      <c r="D14">
        <f>B14+C14</f>
        <v/>
      </c>
      <c r="E14" t="n">
        <v>20</v>
      </c>
      <c r="F14" t="inlineStr">
        <is>
          <t>Task 1 Hours</t>
        </is>
      </c>
      <c r="G14">
        <f>B18</f>
        <v/>
      </c>
      <c r="H14">
        <f>B19</f>
        <v/>
      </c>
    </row>
    <row r="15">
      <c r="A15" t="inlineStr">
        <is>
          <t>Worker 2</t>
        </is>
      </c>
      <c r="B15" s="6" t="n">
        <v>0</v>
      </c>
      <c r="C15" s="6" t="n">
        <v>0</v>
      </c>
      <c r="D15">
        <f>B15+C15</f>
        <v/>
      </c>
      <c r="E15" t="n">
        <v>18</v>
      </c>
      <c r="F15" t="inlineStr">
        <is>
          <t>Task 2 Hours</t>
        </is>
      </c>
      <c r="G15">
        <f>C18</f>
        <v/>
      </c>
      <c r="H15">
        <f>C19</f>
        <v/>
      </c>
    </row>
    <row r="16">
      <c r="A16" t="inlineStr">
        <is>
          <t>Worker 3</t>
        </is>
      </c>
      <c r="B16" s="6" t="n">
        <v>0</v>
      </c>
      <c r="C16" s="6" t="n">
        <v>0</v>
      </c>
      <c r="D16">
        <f>B16+C16</f>
        <v/>
      </c>
      <c r="E16" t="n">
        <v>15</v>
      </c>
      <c r="F16" t="inlineStr">
        <is>
          <t>Worker 1 Capacity</t>
        </is>
      </c>
      <c r="G16">
        <f>D14</f>
        <v/>
      </c>
      <c r="H16" t="inlineStr">
        <is>
          <t>&lt;=E14</t>
        </is>
      </c>
    </row>
    <row r="17">
      <c r="A17" t="inlineStr">
        <is>
          <t>Worker 4</t>
        </is>
      </c>
      <c r="B17" s="6" t="n">
        <v>0</v>
      </c>
      <c r="C17" s="6" t="n">
        <v>0</v>
      </c>
      <c r="D17">
        <f>B17+C17</f>
        <v/>
      </c>
      <c r="E17" t="n">
        <v>10</v>
      </c>
      <c r="F17" t="inlineStr">
        <is>
          <t>Worker 2 Capacity</t>
        </is>
      </c>
      <c r="G17">
        <f>D15</f>
        <v/>
      </c>
      <c r="H17" t="inlineStr">
        <is>
          <t>&lt;=E15</t>
        </is>
      </c>
    </row>
    <row r="18">
      <c r="A18" s="3" t="inlineStr">
        <is>
          <t>TOTAL HOURS</t>
        </is>
      </c>
      <c r="B18" s="7">
        <f>SUM(B14:B17)</f>
        <v/>
      </c>
      <c r="C18" s="7">
        <f>SUM(C14:C17)</f>
        <v/>
      </c>
      <c r="F18" t="inlineStr">
        <is>
          <t>Worker 3 Capacity</t>
        </is>
      </c>
      <c r="G18">
        <f>D16</f>
        <v/>
      </c>
      <c r="H18" t="inlineStr">
        <is>
          <t>&lt;=E16</t>
        </is>
      </c>
    </row>
    <row r="19">
      <c r="A19" s="3" t="inlineStr">
        <is>
          <t>REQUIRED</t>
        </is>
      </c>
      <c r="B19" t="n">
        <v>20</v>
      </c>
      <c r="C19" t="n">
        <v>15</v>
      </c>
      <c r="F19" t="inlineStr">
        <is>
          <t>Worker 4 Capacity</t>
        </is>
      </c>
      <c r="G19">
        <f>D17</f>
        <v/>
      </c>
      <c r="H19" t="inlineStr">
        <is>
          <t>&lt;=E17</t>
        </is>
      </c>
    </row>
    <row r="21">
      <c r="A21" s="2" t="inlineStr">
        <is>
          <t>COST CALCULATION</t>
        </is>
      </c>
      <c r="F21" s="8" t="inlineStr">
        <is>
          <t>SOLVER SETUP</t>
        </is>
      </c>
    </row>
    <row r="22">
      <c r="F22" t="inlineStr">
        <is>
          <t>1. Objective: Minimize D28</t>
        </is>
      </c>
    </row>
    <row r="23">
      <c r="A23" s="5" t="inlineStr">
        <is>
          <t>Worker</t>
        </is>
      </c>
      <c r="B23" s="5" t="inlineStr">
        <is>
          <t>Hours Used</t>
        </is>
      </c>
      <c r="C23" s="5" t="inlineStr">
        <is>
          <t>Rate</t>
        </is>
      </c>
      <c r="D23" s="5" t="inlineStr">
        <is>
          <t>Cost</t>
        </is>
      </c>
      <c r="F23" t="inlineStr">
        <is>
          <t>2. Variables: B14:C17</t>
        </is>
      </c>
    </row>
    <row r="24">
      <c r="A24" t="inlineStr">
        <is>
          <t>Worker 1 ($20/hr)</t>
        </is>
      </c>
      <c r="B24">
        <f>D14</f>
        <v/>
      </c>
      <c r="C24" t="n">
        <v>20</v>
      </c>
      <c r="D24">
        <f>B24*C24</f>
        <v/>
      </c>
      <c r="F24" t="inlineStr">
        <is>
          <t>3. Constraints:</t>
        </is>
      </c>
    </row>
    <row r="25">
      <c r="A25" t="inlineStr">
        <is>
          <t>Worker 2 ($18/hr)</t>
        </is>
      </c>
      <c r="B25">
        <f>D15</f>
        <v/>
      </c>
      <c r="C25" t="n">
        <v>18</v>
      </c>
      <c r="D25">
        <f>B25*C25</f>
        <v/>
      </c>
      <c r="F25" t="inlineStr">
        <is>
          <t xml:space="preserve">   - B18 = 20 (Task 1)</t>
        </is>
      </c>
    </row>
    <row r="26">
      <c r="A26" t="inlineStr">
        <is>
          <t>Worker 3 ($15/hr)</t>
        </is>
      </c>
      <c r="B26">
        <f>D16</f>
        <v/>
      </c>
      <c r="C26" t="n">
        <v>15</v>
      </c>
      <c r="D26">
        <f>B26*C26</f>
        <v/>
      </c>
      <c r="F26" t="inlineStr">
        <is>
          <t xml:space="preserve">   - C18 = 15 (Task 2)</t>
        </is>
      </c>
    </row>
    <row r="27">
      <c r="A27" t="inlineStr">
        <is>
          <t>Worker 4 ($12/hr)</t>
        </is>
      </c>
      <c r="B27">
        <f>D17</f>
        <v/>
      </c>
      <c r="C27" t="n">
        <v>12</v>
      </c>
      <c r="D27">
        <f>B27*C27</f>
        <v/>
      </c>
      <c r="F27" t="inlineStr">
        <is>
          <t xml:space="preserve">   - D14:D17 &lt;= E14:E17</t>
        </is>
      </c>
    </row>
    <row r="28">
      <c r="A28" s="9" t="inlineStr">
        <is>
          <t>TOTAL COST</t>
        </is>
      </c>
      <c r="D28" s="10">
        <f>SUM(D24:D27)</f>
        <v/>
      </c>
      <c r="F28" t="inlineStr">
        <is>
          <t xml:space="preserve">   - B14:C17 &gt;= 0</t>
        </is>
      </c>
    </row>
    <row r="29">
      <c r="F29" t="inlineStr">
        <is>
          <t xml:space="preserve">   - B14:C17 = integer</t>
        </is>
      </c>
    </row>
    <row r="30">
      <c r="F30" t="inlineStr">
        <is>
          <t>4. Method: Simplex LP</t>
        </is>
      </c>
    </row>
  </sheetData>
  <mergeCells count="6">
    <mergeCell ref="A1:G1"/>
    <mergeCell ref="A3:G3"/>
    <mergeCell ref="A21:D21"/>
    <mergeCell ref="A11:E11"/>
    <mergeCell ref="F21:H21"/>
    <mergeCell ref="F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5" customWidth="1" min="4" max="4"/>
    <col width="12" customWidth="1" min="5" max="5"/>
    <col width="8" customWidth="1" min="6" max="6"/>
    <col width="22" customWidth="1" min="7" max="7"/>
    <col width="12" customWidth="1" min="8" max="8"/>
    <col width="15" customWidth="1" min="9" max="9"/>
  </cols>
  <sheetData>
    <row r="1">
      <c r="A1" s="1" t="inlineStr">
        <is>
          <t>Problem 4 Part (d): Extended Model with Safety/Union Rules</t>
        </is>
      </c>
    </row>
    <row r="3">
      <c r="A3" s="2" t="inlineStr">
        <is>
          <t>PARAMETERS</t>
        </is>
      </c>
    </row>
    <row r="5">
      <c r="A5" s="3" t="inlineStr">
        <is>
          <t>Worker</t>
        </is>
      </c>
      <c r="B5" s="3" t="inlineStr">
        <is>
          <t>Hourly Rate</t>
        </is>
      </c>
      <c r="C5" s="3" t="inlineStr">
        <is>
          <t>Hours Available</t>
        </is>
      </c>
      <c r="E5" s="3" t="inlineStr">
        <is>
          <t>Task</t>
        </is>
      </c>
      <c r="F5" s="3" t="inlineStr">
        <is>
          <t>Hours Required</t>
        </is>
      </c>
    </row>
    <row r="6">
      <c r="A6" t="inlineStr">
        <is>
          <t>Worker 1</t>
        </is>
      </c>
      <c r="B6" t="n">
        <v>20</v>
      </c>
      <c r="C6" t="n">
        <v>20</v>
      </c>
      <c r="E6" t="inlineStr">
        <is>
          <t>Task 1 (Structure)</t>
        </is>
      </c>
      <c r="F6" t="n">
        <v>20</v>
      </c>
    </row>
    <row r="7">
      <c r="A7" t="inlineStr">
        <is>
          <t>Worker 2</t>
        </is>
      </c>
      <c r="B7" t="n">
        <v>18</v>
      </c>
      <c r="C7" t="n">
        <v>18</v>
      </c>
      <c r="E7" t="inlineStr">
        <is>
          <t>Task 2 (Electrical)</t>
        </is>
      </c>
      <c r="F7" t="n">
        <v>15</v>
      </c>
    </row>
    <row r="8">
      <c r="A8" t="inlineStr">
        <is>
          <t>Worker 3</t>
        </is>
      </c>
      <c r="B8" t="n">
        <v>15</v>
      </c>
      <c r="C8" t="n">
        <v>15</v>
      </c>
    </row>
    <row r="9">
      <c r="A9" t="inlineStr">
        <is>
          <t>Worker 4</t>
        </is>
      </c>
      <c r="B9" t="n">
        <v>12</v>
      </c>
      <c r="C9" t="n">
        <v>10</v>
      </c>
    </row>
    <row r="11">
      <c r="A11" s="2" t="inlineStr">
        <is>
          <t>DECISION VARIABLES</t>
        </is>
      </c>
      <c r="F11" s="4" t="inlineStr">
        <is>
          <t>ADDITIONAL CONSTRAINTS (R1, R2, R3)</t>
        </is>
      </c>
    </row>
    <row r="13">
      <c r="A13" s="5" t="inlineStr">
        <is>
          <t>Worker</t>
        </is>
      </c>
      <c r="B13" s="5" t="inlineStr">
        <is>
          <t>Structure (Task 1)</t>
        </is>
      </c>
      <c r="C13" s="5" t="inlineStr">
        <is>
          <t>Electrical (Task 2)</t>
        </is>
      </c>
      <c r="D13" s="5" t="inlineStr">
        <is>
          <t>Total Hours</t>
        </is>
      </c>
      <c r="E13" s="5" t="inlineStr">
        <is>
          <t>Capacity</t>
        </is>
      </c>
      <c r="F13" s="3" t="inlineStr">
        <is>
          <t>Rule</t>
        </is>
      </c>
      <c r="G13" s="3" t="inlineStr">
        <is>
          <t>Constraint</t>
        </is>
      </c>
      <c r="H13" s="3" t="inlineStr">
        <is>
          <t>Current</t>
        </is>
      </c>
      <c r="I13" s="3" t="inlineStr">
        <is>
          <t>Required</t>
        </is>
      </c>
    </row>
    <row r="14">
      <c r="A14" t="inlineStr">
        <is>
          <t>Worker 1</t>
        </is>
      </c>
      <c r="B14" s="6" t="n">
        <v>0</v>
      </c>
      <c r="C14" s="6" t="n">
        <v>0</v>
      </c>
      <c r="D14">
        <f>B14+C14</f>
        <v/>
      </c>
      <c r="E14" t="n">
        <v>20</v>
      </c>
      <c r="F14" t="inlineStr">
        <is>
          <t>R1</t>
        </is>
      </c>
      <c r="G14" t="inlineStr">
        <is>
          <t>At least 3 on structure</t>
        </is>
      </c>
      <c r="H14">
        <f>B23+B24+B25+B26</f>
        <v/>
      </c>
      <c r="I14" t="inlineStr">
        <is>
          <t>&gt;=3</t>
        </is>
      </c>
    </row>
    <row r="15">
      <c r="A15" t="inlineStr">
        <is>
          <t>Worker 2</t>
        </is>
      </c>
      <c r="B15" s="6" t="n">
        <v>0</v>
      </c>
      <c r="C15" s="6" t="n">
        <v>0</v>
      </c>
      <c r="D15">
        <f>B15+C15</f>
        <v/>
      </c>
      <c r="E15" t="n">
        <v>18</v>
      </c>
      <c r="F15" t="inlineStr">
        <is>
          <t>R1</t>
        </is>
      </c>
      <c r="G15" t="inlineStr">
        <is>
          <t>z1 links to x_1,1</t>
        </is>
      </c>
      <c r="H15" t="inlineStr">
        <is>
          <t>B14</t>
        </is>
      </c>
      <c r="I15" t="inlineStr">
        <is>
          <t>&lt;=20*B23</t>
        </is>
      </c>
    </row>
    <row r="16">
      <c r="A16" t="inlineStr">
        <is>
          <t>Worker 3</t>
        </is>
      </c>
      <c r="B16" s="6" t="n">
        <v>0</v>
      </c>
      <c r="C16" s="6" t="n">
        <v>0</v>
      </c>
      <c r="D16">
        <f>B16+C16</f>
        <v/>
      </c>
      <c r="E16" t="n">
        <v>15</v>
      </c>
      <c r="F16" t="inlineStr">
        <is>
          <t>R1</t>
        </is>
      </c>
      <c r="G16" t="inlineStr">
        <is>
          <t>z2 links to x_2,1</t>
        </is>
      </c>
      <c r="H16" t="inlineStr">
        <is>
          <t>B15</t>
        </is>
      </c>
      <c r="I16" t="inlineStr">
        <is>
          <t>&lt;=18*B24</t>
        </is>
      </c>
    </row>
    <row r="17">
      <c r="A17" t="inlineStr">
        <is>
          <t>Worker 4</t>
        </is>
      </c>
      <c r="B17" s="6" t="n">
        <v>0</v>
      </c>
      <c r="C17" s="6" t="n">
        <v>0</v>
      </c>
      <c r="D17">
        <f>B17+C17</f>
        <v/>
      </c>
      <c r="E17" t="n">
        <v>10</v>
      </c>
      <c r="F17" t="inlineStr">
        <is>
          <t>R1</t>
        </is>
      </c>
      <c r="G17" t="inlineStr">
        <is>
          <t>z3 links to x_3,1</t>
        </is>
      </c>
      <c r="H17" t="inlineStr">
        <is>
          <t>B16</t>
        </is>
      </c>
      <c r="I17" t="inlineStr">
        <is>
          <t>&lt;=15*B25</t>
        </is>
      </c>
    </row>
    <row r="18">
      <c r="A18" s="3" t="inlineStr">
        <is>
          <t>TOTAL HOURS</t>
        </is>
      </c>
      <c r="B18" s="7">
        <f>SUM(B14:B17)</f>
        <v/>
      </c>
      <c r="C18" s="7">
        <f>SUM(C14:C17)</f>
        <v/>
      </c>
      <c r="F18" t="inlineStr">
        <is>
          <t>R1</t>
        </is>
      </c>
      <c r="G18" t="inlineStr">
        <is>
          <t>z4 links to x_4,1</t>
        </is>
      </c>
      <c r="H18" t="inlineStr">
        <is>
          <t>B17</t>
        </is>
      </c>
      <c r="I18" t="inlineStr">
        <is>
          <t>&lt;=10*B26</t>
        </is>
      </c>
    </row>
    <row r="19">
      <c r="F19" t="inlineStr">
        <is>
          <t>R2</t>
        </is>
      </c>
      <c r="G19" t="inlineStr">
        <is>
          <t>Worker 3: x_3,1 limit</t>
        </is>
      </c>
      <c r="H19" t="inlineStr">
        <is>
          <t>B16</t>
        </is>
      </c>
      <c r="I19" t="inlineStr">
        <is>
          <t>&lt;=15*B27</t>
        </is>
      </c>
    </row>
    <row r="20">
      <c r="A20" s="8" t="inlineStr">
        <is>
          <t>BINARY INDICATOR VARIABLES</t>
        </is>
      </c>
      <c r="F20" t="inlineStr">
        <is>
          <t>R2</t>
        </is>
      </c>
      <c r="G20" t="inlineStr">
        <is>
          <t>Worker 3: x_3,2 limit</t>
        </is>
      </c>
      <c r="H20" t="inlineStr">
        <is>
          <t>C16</t>
        </is>
      </c>
      <c r="I20" t="inlineStr">
        <is>
          <t>&lt;=15*(1-B27)</t>
        </is>
      </c>
    </row>
    <row r="21">
      <c r="F21" t="inlineStr">
        <is>
          <t>R3</t>
        </is>
      </c>
      <c r="G21" t="inlineStr">
        <is>
          <t>Worker 4: x_4,2 upper</t>
        </is>
      </c>
      <c r="H21" t="inlineStr">
        <is>
          <t>C17</t>
        </is>
      </c>
      <c r="I21" t="inlineStr">
        <is>
          <t>&lt;=10*B28</t>
        </is>
      </c>
    </row>
    <row r="22">
      <c r="A22" s="3" t="inlineStr">
        <is>
          <t>Variable</t>
        </is>
      </c>
      <c r="B22" s="3" t="inlineStr">
        <is>
          <t>Value</t>
        </is>
      </c>
      <c r="C22" s="3" t="inlineStr">
        <is>
          <t>Description</t>
        </is>
      </c>
      <c r="F22" t="inlineStr">
        <is>
          <t>R3</t>
        </is>
      </c>
      <c r="G22" t="inlineStr">
        <is>
          <t>Worker 4: x_4,2 lower</t>
        </is>
      </c>
      <c r="H22" t="inlineStr">
        <is>
          <t>C17</t>
        </is>
      </c>
      <c r="I22" t="inlineStr">
        <is>
          <t>&gt;=5*B28</t>
        </is>
      </c>
    </row>
    <row r="23">
      <c r="A23" t="inlineStr">
        <is>
          <t>z1</t>
        </is>
      </c>
      <c r="B23" s="11">
        <f>IF(B14&gt;0,1,0)</f>
        <v/>
      </c>
      <c r="C23" t="inlineStr">
        <is>
          <t>Worker 1 works on structure (R1)</t>
        </is>
      </c>
    </row>
    <row r="24">
      <c r="A24" t="inlineStr">
        <is>
          <t>z2</t>
        </is>
      </c>
      <c r="B24" s="11">
        <f>IF(B15&gt;0,1,0)</f>
        <v/>
      </c>
      <c r="C24" t="inlineStr">
        <is>
          <t>Worker 2 works on structure (R1)</t>
        </is>
      </c>
      <c r="F24" s="12" t="inlineStr">
        <is>
          <t>SOLVER SETUP FOR EXTENDED MODEL</t>
        </is>
      </c>
    </row>
    <row r="25">
      <c r="A25" t="inlineStr">
        <is>
          <t>z3</t>
        </is>
      </c>
      <c r="B25" s="11">
        <f>IF(B16&gt;0,1,0)</f>
        <v/>
      </c>
      <c r="C25" t="inlineStr">
        <is>
          <t>Worker 3 works on structure (R1)</t>
        </is>
      </c>
      <c r="F25" t="inlineStr">
        <is>
          <t>1. Objective: Minimize D37</t>
        </is>
      </c>
    </row>
    <row r="26">
      <c r="A26" t="inlineStr">
        <is>
          <t>z4</t>
        </is>
      </c>
      <c r="B26" s="11">
        <f>IF(B17&gt;0,1,0)</f>
        <v/>
      </c>
      <c r="C26" t="inlineStr">
        <is>
          <t>Worker 4 works on structure (R1)</t>
        </is>
      </c>
      <c r="F26" t="inlineStr">
        <is>
          <t>2. Variables: B14:C17, B27 (b3)</t>
        </is>
      </c>
    </row>
    <row r="27">
      <c r="A27" t="inlineStr">
        <is>
          <t>b3</t>
        </is>
      </c>
      <c r="B27" s="11" t="n">
        <v>0</v>
      </c>
      <c r="C27" t="inlineStr">
        <is>
          <t>Worker 3 task choice: 1=structure, 0=electrical (R2)</t>
        </is>
      </c>
      <c r="F27" t="inlineStr">
        <is>
          <t>3. Constraints (in addition to basic):</t>
        </is>
      </c>
    </row>
    <row r="28">
      <c r="A28" t="inlineStr">
        <is>
          <t>u4</t>
        </is>
      </c>
      <c r="B28" s="11">
        <f>IF(C17&gt;0,1,0)</f>
        <v/>
      </c>
      <c r="C28" t="inlineStr">
        <is>
          <t>Worker 4 works on electrical (R3)</t>
        </is>
      </c>
      <c r="F28" t="inlineStr">
        <is>
          <t xml:space="preserve">   R1: B23+B24+B25+B26 &gt;= 3</t>
        </is>
      </c>
    </row>
    <row r="29">
      <c r="F29" t="inlineStr">
        <is>
          <t xml:space="preserve">   R1: B14 &lt;= 20*B23, B15 &lt;= 18*B24</t>
        </is>
      </c>
    </row>
    <row r="30">
      <c r="A30" s="2" t="inlineStr">
        <is>
          <t>COST CALCULATION</t>
        </is>
      </c>
      <c r="F30" t="inlineStr">
        <is>
          <t xml:space="preserve">   R1: B16 &lt;= 15*B25, B17 &lt;= 10*B26</t>
        </is>
      </c>
    </row>
    <row r="31">
      <c r="F31" t="inlineStr">
        <is>
          <t xml:space="preserve">   R2: B16 &lt;= 15*B27</t>
        </is>
      </c>
    </row>
    <row r="32">
      <c r="A32" s="3" t="inlineStr">
        <is>
          <t>Worker</t>
        </is>
      </c>
      <c r="B32" s="3" t="inlineStr">
        <is>
          <t>Hours</t>
        </is>
      </c>
      <c r="C32" s="3" t="inlineStr">
        <is>
          <t>Rate</t>
        </is>
      </c>
      <c r="D32" s="3" t="inlineStr">
        <is>
          <t>Cost</t>
        </is>
      </c>
      <c r="F32" t="inlineStr">
        <is>
          <t xml:space="preserve">   R2: C16 &lt;= 15*(1-B27)</t>
        </is>
      </c>
    </row>
    <row r="33">
      <c r="A33" t="inlineStr">
        <is>
          <t>Worker 1</t>
        </is>
      </c>
      <c r="B33">
        <f>D14</f>
        <v/>
      </c>
      <c r="C33" t="n">
        <v>20</v>
      </c>
      <c r="D33">
        <f>B33*C33</f>
        <v/>
      </c>
      <c r="F33" t="inlineStr">
        <is>
          <t xml:space="preserve">   R3: C17 &lt;= 10*B28</t>
        </is>
      </c>
    </row>
    <row r="34">
      <c r="A34" t="inlineStr">
        <is>
          <t>Worker 2</t>
        </is>
      </c>
      <c r="B34">
        <f>D15</f>
        <v/>
      </c>
      <c r="C34" t="n">
        <v>18</v>
      </c>
      <c r="D34">
        <f>B34*C34</f>
        <v/>
      </c>
      <c r="F34" t="inlineStr">
        <is>
          <t xml:space="preserve">   R3: C17 &gt;= 5*B28</t>
        </is>
      </c>
    </row>
    <row r="35">
      <c r="A35" t="inlineStr">
        <is>
          <t>Worker 3</t>
        </is>
      </c>
      <c r="B35">
        <f>D16</f>
        <v/>
      </c>
      <c r="C35" t="n">
        <v>15</v>
      </c>
      <c r="D35">
        <f>B35*C35</f>
        <v/>
      </c>
      <c r="F35" t="inlineStr">
        <is>
          <t>4. B27 must be binary {0,1}</t>
        </is>
      </c>
    </row>
    <row r="36">
      <c r="A36" t="inlineStr">
        <is>
          <t>Worker 4</t>
        </is>
      </c>
      <c r="B36">
        <f>D17</f>
        <v/>
      </c>
      <c r="C36" t="n">
        <v>12</v>
      </c>
      <c r="D36">
        <f>B36*C36</f>
        <v/>
      </c>
      <c r="F36" t="inlineStr">
        <is>
          <t>5. Note: B23-B26, B28 auto-calculated</t>
        </is>
      </c>
    </row>
    <row r="37">
      <c r="A37" s="9" t="inlineStr">
        <is>
          <t>TOTAL COST</t>
        </is>
      </c>
      <c r="D37" s="10">
        <f>SUM(D33:D36)</f>
        <v/>
      </c>
    </row>
  </sheetData>
  <mergeCells count="7">
    <mergeCell ref="A20:E20"/>
    <mergeCell ref="A3:G3"/>
    <mergeCell ref="A30:D30"/>
    <mergeCell ref="F11:I11"/>
    <mergeCell ref="A11:E11"/>
    <mergeCell ref="F24:I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2025-12-03T17:45:35Z</dcterms:created>
  <dcterms:modified xmlns:dcterms="http://purl.org/dc/terms/" xmlns:xsi="http://www.w3.org/2001/XMLSchema-instance" xsi:type="dcterms:W3CDTF">2025-12-03T17:45:35Z</dcterms:modified>
</cp:coreProperties>
</file>