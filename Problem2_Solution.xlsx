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B - Basic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sz val="9"/>
    </font>
    <font>
      <b val="1"/>
      <sz val="12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FD966"/>
        <bgColor rgb="00FFD966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textRotation="90"/>
    </xf>
    <xf numFmtId="0" fontId="0" fillId="3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pivotButton="0" quotePrefix="0" xfId="0"/>
    <xf numFmtId="0" fontId="2" fillId="7" borderId="0" pivotButton="0" quotePrefix="0" xfId="0"/>
    <xf numFmtId="0" fontId="6" fillId="11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6" fillId="7" borderId="0" pivotButton="0" quotePrefix="0" xfId="0"/>
    <xf numFmtId="0" fontId="5" fillId="0" borderId="0" pivotButton="0" quotePrefix="0" xfId="0"/>
    <xf numFmtId="0" fontId="5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25" customWidth="1" min="7" max="7"/>
    <col width="10" customWidth="1" min="8" max="8"/>
    <col width="10" customWidth="1" min="9" max="9"/>
    <col width="10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>
      <c r="A1" s="1" t="inlineStr">
        <is>
          <t>Problem 2 Part (b): Call Center Operator Scheduling</t>
        </is>
      </c>
    </row>
    <row r="3">
      <c r="A3" s="2" t="inlineStr">
        <is>
          <t>PARAMETERS</t>
        </is>
      </c>
    </row>
    <row r="5">
      <c r="A5" s="3" t="inlineStr">
        <is>
          <t>Hour</t>
        </is>
      </c>
      <c r="B5" s="4" t="inlineStr">
        <is>
          <t>7-8AM</t>
        </is>
      </c>
      <c r="C5" s="4" t="inlineStr">
        <is>
          <t>8-9AM</t>
        </is>
      </c>
      <c r="D5" s="4" t="inlineStr">
        <is>
          <t>9-10AM</t>
        </is>
      </c>
      <c r="E5" s="4" t="inlineStr">
        <is>
          <t>10-11AM</t>
        </is>
      </c>
      <c r="F5" s="4" t="inlineStr">
        <is>
          <t>11-12PM</t>
        </is>
      </c>
      <c r="G5" s="4" t="inlineStr">
        <is>
          <t>12-1PM</t>
        </is>
      </c>
      <c r="H5" s="4" t="inlineStr">
        <is>
          <t>1-2PM</t>
        </is>
      </c>
      <c r="I5" s="4" t="inlineStr">
        <is>
          <t>2-3PM</t>
        </is>
      </c>
      <c r="J5" s="4" t="inlineStr">
        <is>
          <t>3-4PM</t>
        </is>
      </c>
      <c r="K5" s="4" t="inlineStr">
        <is>
          <t>4-5PM</t>
        </is>
      </c>
      <c r="L5" s="4" t="inlineStr">
        <is>
          <t>5-6PM</t>
        </is>
      </c>
      <c r="M5" s="4" t="inlineStr">
        <is>
          <t>6-7PM</t>
        </is>
      </c>
    </row>
    <row r="6">
      <c r="A6" s="3" t="inlineStr">
        <is>
          <t>Min Required</t>
        </is>
      </c>
      <c r="B6" t="n">
        <v>2</v>
      </c>
      <c r="C6" t="n">
        <v>3</v>
      </c>
      <c r="D6" t="n">
        <v>5</v>
      </c>
      <c r="E6" t="n">
        <v>8</v>
      </c>
      <c r="F6" t="n">
        <v>7</v>
      </c>
      <c r="G6" t="n">
        <v>5</v>
      </c>
      <c r="H6" t="n">
        <v>6</v>
      </c>
      <c r="I6" t="n">
        <v>7</v>
      </c>
      <c r="J6" t="n">
        <v>5</v>
      </c>
      <c r="K6" t="n">
        <v>5</v>
      </c>
      <c r="L6" t="n">
        <v>4</v>
      </c>
      <c r="M6" t="n">
        <v>4</v>
      </c>
    </row>
    <row r="7">
      <c r="A7" s="3" t="inlineStr">
        <is>
          <t>Pay Rate ($/hr)</t>
        </is>
      </c>
      <c r="B7" s="5" t="n">
        <v>25</v>
      </c>
      <c r="C7" s="5" t="n">
        <v>25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5" t="n">
        <v>25</v>
      </c>
      <c r="M7" s="5" t="n">
        <v>25</v>
      </c>
    </row>
    <row r="9">
      <c r="A9" s="2" t="inlineStr">
        <is>
          <t>DECISION VARIABLES: WORKING HOURS (y_o,h)</t>
        </is>
      </c>
    </row>
    <row r="11">
      <c r="A11" s="3" t="inlineStr">
        <is>
          <t>Operator</t>
        </is>
      </c>
      <c r="B11" s="7" t="n">
        <v>1</v>
      </c>
      <c r="C11" s="7" t="n">
        <v>2</v>
      </c>
      <c r="D11" s="7" t="n">
        <v>3</v>
      </c>
      <c r="E11" s="7" t="n">
        <v>4</v>
      </c>
      <c r="F11" s="7" t="n">
        <v>5</v>
      </c>
      <c r="G11" s="7" t="n">
        <v>6</v>
      </c>
      <c r="H11" s="7" t="n">
        <v>7</v>
      </c>
      <c r="I11" s="7" t="n">
        <v>8</v>
      </c>
      <c r="J11" s="7" t="n">
        <v>9</v>
      </c>
      <c r="K11" s="7" t="n">
        <v>10</v>
      </c>
      <c r="L11" s="7" t="n">
        <v>11</v>
      </c>
      <c r="M11" s="7" t="n">
        <v>12</v>
      </c>
      <c r="N11" s="3" t="inlineStr">
        <is>
          <t>Total</t>
        </is>
      </c>
      <c r="O11" s="3" t="inlineStr">
        <is>
          <t>Required</t>
        </is>
      </c>
    </row>
    <row r="12">
      <c r="A12" t="inlineStr">
        <is>
          <t>Op A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>
        <f>SUM(B12:M12)</f>
        <v/>
      </c>
      <c r="O12" t="n">
        <v>7</v>
      </c>
    </row>
    <row r="13">
      <c r="A13" t="inlineStr">
        <is>
          <t>Op B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>
        <f>SUM(B13:M13)</f>
        <v/>
      </c>
      <c r="O13" t="n">
        <v>7</v>
      </c>
    </row>
    <row r="14">
      <c r="A14" t="inlineStr">
        <is>
          <t>Op C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>
        <f>SUM(B14:M14)</f>
        <v/>
      </c>
      <c r="O14" t="n">
        <v>7</v>
      </c>
    </row>
    <row r="15">
      <c r="A15" t="inlineStr">
        <is>
          <t>Op D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>
        <f>SUM(B15:M15)</f>
        <v/>
      </c>
      <c r="O15" t="n">
        <v>7</v>
      </c>
    </row>
    <row r="16">
      <c r="A16" t="inlineStr">
        <is>
          <t>Op E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>
        <f>SUM(B16:M16)</f>
        <v/>
      </c>
      <c r="O16" t="n">
        <v>7</v>
      </c>
    </row>
    <row r="17">
      <c r="A17" t="inlineStr">
        <is>
          <t>Op F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>
        <f>SUM(B17:M17)</f>
        <v/>
      </c>
      <c r="O17" t="n">
        <v>7</v>
      </c>
    </row>
    <row r="18">
      <c r="A18" t="inlineStr">
        <is>
          <t>Op G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>
        <f>SUM(B18:M18)</f>
        <v/>
      </c>
      <c r="O18" t="n">
        <v>7</v>
      </c>
    </row>
    <row r="19">
      <c r="A19" t="inlineStr">
        <is>
          <t>Op H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>
        <f>SUM(B19:M19)</f>
        <v/>
      </c>
      <c r="O19" t="n">
        <v>7</v>
      </c>
    </row>
    <row r="20">
      <c r="A20" t="inlineStr">
        <is>
          <t>Op I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>
        <f>SUM(B20:M20)</f>
        <v/>
      </c>
      <c r="O20" t="n">
        <v>7</v>
      </c>
    </row>
    <row r="21">
      <c r="A21" t="inlineStr">
        <is>
          <t>Op J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>
        <f>SUM(B21:M21)</f>
        <v/>
      </c>
      <c r="O21" t="n">
        <v>7</v>
      </c>
    </row>
    <row r="22">
      <c r="A22" s="3" t="inlineStr">
        <is>
          <t>Coverage</t>
        </is>
      </c>
      <c r="B22" s="9">
        <f>SUM(B12:B21)</f>
        <v/>
      </c>
      <c r="C22" s="9">
        <f>SUM(C12:C21)</f>
        <v/>
      </c>
      <c r="D22" s="9">
        <f>SUM(D12:D21)</f>
        <v/>
      </c>
      <c r="E22" s="9">
        <f>SUM(E12:E21)</f>
        <v/>
      </c>
      <c r="F22" s="9">
        <f>SUM(F12:F21)</f>
        <v/>
      </c>
      <c r="G22" s="9">
        <f>SUM(G12:G21)</f>
        <v/>
      </c>
      <c r="H22" s="9">
        <f>SUM(H12:H21)</f>
        <v/>
      </c>
      <c r="I22" s="9">
        <f>SUM(I12:I21)</f>
        <v/>
      </c>
      <c r="J22" s="9">
        <f>SUM(J12:J21)</f>
        <v/>
      </c>
      <c r="K22" s="9">
        <f>SUM(K12:K21)</f>
        <v/>
      </c>
      <c r="L22" s="9">
        <f>SUM(L12:L21)</f>
        <v/>
      </c>
      <c r="M22" s="9">
        <f>SUM(M12:M21)</f>
        <v/>
      </c>
    </row>
    <row r="23">
      <c r="A23" s="3" t="inlineStr">
        <is>
          <t>Required</t>
        </is>
      </c>
      <c r="B23" t="n">
        <v>2</v>
      </c>
      <c r="C23" t="n">
        <v>3</v>
      </c>
      <c r="D23" t="n">
        <v>5</v>
      </c>
      <c r="E23" t="n">
        <v>8</v>
      </c>
      <c r="F23" t="n">
        <v>7</v>
      </c>
      <c r="G23" t="n">
        <v>5</v>
      </c>
      <c r="H23" t="n">
        <v>6</v>
      </c>
      <c r="I23" t="n">
        <v>7</v>
      </c>
      <c r="J23" t="n">
        <v>5</v>
      </c>
      <c r="K23" t="n">
        <v>5</v>
      </c>
      <c r="L23" t="n">
        <v>4</v>
      </c>
      <c r="M23" t="n">
        <v>4</v>
      </c>
    </row>
    <row r="25">
      <c r="A25" s="10" t="inlineStr">
        <is>
          <t>LUNCH VARIABLES (L_o,h) - Hours 5,6,7 only (11AM-2PM)</t>
        </is>
      </c>
      <c r="G25" s="11" t="inlineStr">
        <is>
          <t>CONSTRAINT CHECKS</t>
        </is>
      </c>
    </row>
    <row r="27">
      <c r="A27" s="12" t="inlineStr">
        <is>
          <t>Operator</t>
        </is>
      </c>
      <c r="B27" s="12" t="inlineStr">
        <is>
          <t>11-12PM (h5)</t>
        </is>
      </c>
      <c r="C27" s="12" t="inlineStr">
        <is>
          <t>12-1PM (h6)</t>
        </is>
      </c>
      <c r="D27" s="12" t="inlineStr">
        <is>
          <t>1-2PM (h7)</t>
        </is>
      </c>
      <c r="E27" s="12" t="inlineStr">
        <is>
          <t>Total Lunch</t>
        </is>
      </c>
      <c r="F27" s="12" t="inlineStr">
        <is>
          <t>Required</t>
        </is>
      </c>
      <c r="G27" s="3" t="inlineStr">
        <is>
          <t>Constraint</t>
        </is>
      </c>
      <c r="H27" s="3" t="inlineStr">
        <is>
          <t>Current</t>
        </is>
      </c>
      <c r="I27" s="3" t="inlineStr">
        <is>
          <t>Required</t>
        </is>
      </c>
      <c r="J27" s="3" t="inlineStr">
        <is>
          <t>Status</t>
        </is>
      </c>
    </row>
    <row r="28">
      <c r="A28" t="inlineStr">
        <is>
          <t>Op A</t>
        </is>
      </c>
      <c r="B28" s="13" t="n">
        <v>0</v>
      </c>
      <c r="C28" s="13" t="n">
        <v>0</v>
      </c>
      <c r="D28" s="13" t="n">
        <v>0</v>
      </c>
      <c r="E28">
        <f>B28+C28+D28</f>
        <v/>
      </c>
      <c r="F28" t="n">
        <v>1</v>
      </c>
      <c r="G28" t="inlineStr">
        <is>
          <t>Op A hours</t>
        </is>
      </c>
      <c r="H28">
        <f>N12</f>
        <v/>
      </c>
      <c r="I28" t="n">
        <v>7</v>
      </c>
      <c r="J28">
        <f>IF(H28=I28,"OK","CHECK")</f>
        <v/>
      </c>
    </row>
    <row r="29">
      <c r="A29" t="inlineStr">
        <is>
          <t>Op B</t>
        </is>
      </c>
      <c r="B29" s="13" t="n">
        <v>0</v>
      </c>
      <c r="C29" s="13" t="n">
        <v>0</v>
      </c>
      <c r="D29" s="13" t="n">
        <v>0</v>
      </c>
      <c r="E29">
        <f>B29+C29+D29</f>
        <v/>
      </c>
      <c r="F29" t="n">
        <v>1</v>
      </c>
      <c r="G29" t="inlineStr">
        <is>
          <t>Op B hours</t>
        </is>
      </c>
      <c r="H29">
        <f>N13</f>
        <v/>
      </c>
      <c r="I29" t="n">
        <v>7</v>
      </c>
      <c r="J29">
        <f>IF(H29=I29,"OK","CHECK")</f>
        <v/>
      </c>
    </row>
    <row r="30">
      <c r="A30" t="inlineStr">
        <is>
          <t>Op C</t>
        </is>
      </c>
      <c r="B30" s="13" t="n">
        <v>0</v>
      </c>
      <c r="C30" s="13" t="n">
        <v>0</v>
      </c>
      <c r="D30" s="13" t="n">
        <v>0</v>
      </c>
      <c r="E30">
        <f>B30+C30+D30</f>
        <v/>
      </c>
      <c r="F30" t="n">
        <v>1</v>
      </c>
      <c r="G30" t="inlineStr">
        <is>
          <t>Op C hours</t>
        </is>
      </c>
      <c r="H30">
        <f>N14</f>
        <v/>
      </c>
      <c r="I30" t="n">
        <v>7</v>
      </c>
      <c r="J30">
        <f>IF(H30=I30,"OK","CHECK")</f>
        <v/>
      </c>
    </row>
    <row r="31">
      <c r="A31" t="inlineStr">
        <is>
          <t>Op D</t>
        </is>
      </c>
      <c r="B31" s="13" t="n">
        <v>0</v>
      </c>
      <c r="C31" s="13" t="n">
        <v>0</v>
      </c>
      <c r="D31" s="13" t="n">
        <v>0</v>
      </c>
      <c r="E31">
        <f>B31+C31+D31</f>
        <v/>
      </c>
      <c r="F31" t="n">
        <v>1</v>
      </c>
      <c r="G31" t="inlineStr">
        <is>
          <t>Op D hours</t>
        </is>
      </c>
      <c r="H31">
        <f>N15</f>
        <v/>
      </c>
      <c r="I31" t="n">
        <v>7</v>
      </c>
      <c r="J31">
        <f>IF(H31=I31,"OK","CHECK")</f>
        <v/>
      </c>
    </row>
    <row r="32">
      <c r="A32" t="inlineStr">
        <is>
          <t>Op E</t>
        </is>
      </c>
      <c r="B32" s="13" t="n">
        <v>0</v>
      </c>
      <c r="C32" s="13" t="n">
        <v>0</v>
      </c>
      <c r="D32" s="13" t="n">
        <v>0</v>
      </c>
      <c r="E32">
        <f>B32+C32+D32</f>
        <v/>
      </c>
      <c r="F32" t="n">
        <v>1</v>
      </c>
      <c r="G32" t="inlineStr">
        <is>
          <t>Op E hours</t>
        </is>
      </c>
      <c r="H32">
        <f>N16</f>
        <v/>
      </c>
      <c r="I32" t="n">
        <v>7</v>
      </c>
      <c r="J32">
        <f>IF(H32=I32,"OK","CHECK")</f>
        <v/>
      </c>
    </row>
    <row r="33">
      <c r="A33" t="inlineStr">
        <is>
          <t>Op F</t>
        </is>
      </c>
      <c r="B33" s="13" t="n">
        <v>0</v>
      </c>
      <c r="C33" s="13" t="n">
        <v>0</v>
      </c>
      <c r="D33" s="13" t="n">
        <v>0</v>
      </c>
      <c r="E33">
        <f>B33+C33+D33</f>
        <v/>
      </c>
      <c r="F33" t="n">
        <v>1</v>
      </c>
      <c r="G33" t="inlineStr">
        <is>
          <t>Op F hours</t>
        </is>
      </c>
      <c r="H33">
        <f>N17</f>
        <v/>
      </c>
      <c r="I33" t="n">
        <v>7</v>
      </c>
      <c r="J33">
        <f>IF(H33=I33,"OK","CHECK")</f>
        <v/>
      </c>
    </row>
    <row r="34">
      <c r="A34" t="inlineStr">
        <is>
          <t>Op G</t>
        </is>
      </c>
      <c r="B34" s="13" t="n">
        <v>0</v>
      </c>
      <c r="C34" s="13" t="n">
        <v>0</v>
      </c>
      <c r="D34" s="13" t="n">
        <v>0</v>
      </c>
      <c r="E34">
        <f>B34+C34+D34</f>
        <v/>
      </c>
      <c r="F34" t="n">
        <v>1</v>
      </c>
      <c r="G34" t="inlineStr">
        <is>
          <t>Op G hours</t>
        </is>
      </c>
      <c r="H34">
        <f>N18</f>
        <v/>
      </c>
      <c r="I34" t="n">
        <v>7</v>
      </c>
      <c r="J34">
        <f>IF(H34=I34,"OK","CHECK")</f>
        <v/>
      </c>
    </row>
    <row r="35">
      <c r="A35" t="inlineStr">
        <is>
          <t>Op H</t>
        </is>
      </c>
      <c r="B35" s="13" t="n">
        <v>0</v>
      </c>
      <c r="C35" s="13" t="n">
        <v>0</v>
      </c>
      <c r="D35" s="13" t="n">
        <v>0</v>
      </c>
      <c r="E35">
        <f>B35+C35+D35</f>
        <v/>
      </c>
      <c r="F35" t="n">
        <v>1</v>
      </c>
      <c r="G35" t="inlineStr">
        <is>
          <t>Op H hours</t>
        </is>
      </c>
      <c r="H35">
        <f>N19</f>
        <v/>
      </c>
      <c r="I35" t="n">
        <v>7</v>
      </c>
      <c r="J35">
        <f>IF(H35=I35,"OK","CHECK")</f>
        <v/>
      </c>
    </row>
    <row r="36">
      <c r="A36" t="inlineStr">
        <is>
          <t>Op I</t>
        </is>
      </c>
      <c r="B36" s="13" t="n">
        <v>0</v>
      </c>
      <c r="C36" s="13" t="n">
        <v>0</v>
      </c>
      <c r="D36" s="13" t="n">
        <v>0</v>
      </c>
      <c r="E36">
        <f>B36+C36+D36</f>
        <v/>
      </c>
      <c r="F36" t="n">
        <v>1</v>
      </c>
      <c r="G36" t="inlineStr">
        <is>
          <t>Op I hours</t>
        </is>
      </c>
      <c r="H36">
        <f>N20</f>
        <v/>
      </c>
      <c r="I36" t="n">
        <v>7</v>
      </c>
      <c r="J36">
        <f>IF(H36=I36,"OK","CHECK")</f>
        <v/>
      </c>
    </row>
    <row r="37">
      <c r="A37" t="inlineStr">
        <is>
          <t>Op J</t>
        </is>
      </c>
      <c r="B37" s="13" t="n">
        <v>0</v>
      </c>
      <c r="C37" s="13" t="n">
        <v>0</v>
      </c>
      <c r="D37" s="13" t="n">
        <v>0</v>
      </c>
      <c r="E37">
        <f>B37+C37+D37</f>
        <v/>
      </c>
      <c r="F37" t="n">
        <v>1</v>
      </c>
      <c r="G37" t="inlineStr">
        <is>
          <t>Op J hours</t>
        </is>
      </c>
      <c r="H37">
        <f>N21</f>
        <v/>
      </c>
      <c r="I37" t="n">
        <v>7</v>
      </c>
      <c r="J37">
        <f>IF(H37=I37,"OK","CHECK")</f>
        <v/>
      </c>
    </row>
    <row r="38">
      <c r="G38" s="12" t="inlineStr">
        <is>
          <t>Lunch checks</t>
        </is>
      </c>
    </row>
    <row r="40">
      <c r="A40" s="2" t="inlineStr">
        <is>
          <t>COST CALCULATION</t>
        </is>
      </c>
      <c r="G40" s="14" t="inlineStr">
        <is>
          <t>SOLVER SETUP INSTRUCTIONS</t>
        </is>
      </c>
    </row>
    <row r="41">
      <c r="G41" t="inlineStr">
        <is>
          <t>1. Objective: Minimize E53 (Total Cost)</t>
        </is>
      </c>
    </row>
    <row r="42">
      <c r="A42" s="3" t="inlineStr">
        <is>
          <t>Operator</t>
        </is>
      </c>
      <c r="B42" s="3" t="inlineStr">
        <is>
          <t>Work Hours</t>
        </is>
      </c>
      <c r="C42" s="3" t="inlineStr">
        <is>
          <t>Lunch Hours Paid</t>
        </is>
      </c>
      <c r="D42" s="3" t="inlineStr">
        <is>
          <t>Total Pay Hours</t>
        </is>
      </c>
      <c r="E42" s="3" t="inlineStr">
        <is>
          <t>Daily Cost</t>
        </is>
      </c>
      <c r="G42" t="inlineStr">
        <is>
          <t>2. Variables:</t>
        </is>
      </c>
    </row>
    <row r="43">
      <c r="A43" t="inlineStr">
        <is>
          <t>Op A</t>
        </is>
      </c>
      <c r="B43">
        <f>N12</f>
        <v/>
      </c>
      <c r="C43">
        <f>E28</f>
        <v/>
      </c>
      <c r="D43">
        <f>B43+C43</f>
        <v/>
      </c>
      <c r="E43">
        <f>(B12+C12)*25+(D12+E12+F12+G12+H12+I12+J12+K12)*18+(L12+M12)*25+E28*18</f>
        <v/>
      </c>
      <c r="G43" t="inlineStr">
        <is>
          <t xml:space="preserve">   - Working hours: B12:M21 (120 cells)</t>
        </is>
      </c>
    </row>
    <row r="44">
      <c r="A44" t="inlineStr">
        <is>
          <t>Op B</t>
        </is>
      </c>
      <c r="B44">
        <f>N13</f>
        <v/>
      </c>
      <c r="C44">
        <f>E29</f>
        <v/>
      </c>
      <c r="D44">
        <f>B44+C44</f>
        <v/>
      </c>
      <c r="E44">
        <f>(B13+C13)*25+(D13+E13+F13+G13+H13+I13+J13+K13)*18+(L13+M13)*25+E29*18</f>
        <v/>
      </c>
      <c r="G44" t="inlineStr">
        <is>
          <t xml:space="preserve">   - Lunch: B28:D37 (30 cells)</t>
        </is>
      </c>
    </row>
    <row r="45">
      <c r="A45" t="inlineStr">
        <is>
          <t>Op C</t>
        </is>
      </c>
      <c r="B45">
        <f>N14</f>
        <v/>
      </c>
      <c r="C45">
        <f>E30</f>
        <v/>
      </c>
      <c r="D45">
        <f>B45+C45</f>
        <v/>
      </c>
      <c r="E45">
        <f>(B14+C14)*25+(D14+E14+F14+G14+H14+I14+J14+K14)*18+(L14+M14)*25+E30*18</f>
        <v/>
      </c>
      <c r="G45" t="inlineStr"/>
    </row>
    <row r="46">
      <c r="A46" t="inlineStr">
        <is>
          <t>Op D</t>
        </is>
      </c>
      <c r="B46">
        <f>N15</f>
        <v/>
      </c>
      <c r="C46">
        <f>E31</f>
        <v/>
      </c>
      <c r="D46">
        <f>B46+C46</f>
        <v/>
      </c>
      <c r="E46">
        <f>(B15+C15)*25+(D15+E15+F15+G15+H15+I15+J15+K15)*18+(L15+M15)*25+E31*18</f>
        <v/>
      </c>
      <c r="G46" t="inlineStr">
        <is>
          <t>3. Constraints:</t>
        </is>
      </c>
    </row>
    <row r="47">
      <c r="A47" t="inlineStr">
        <is>
          <t>Op E</t>
        </is>
      </c>
      <c r="B47">
        <f>N16</f>
        <v/>
      </c>
      <c r="C47">
        <f>E32</f>
        <v/>
      </c>
      <c r="D47">
        <f>B47+C47</f>
        <v/>
      </c>
      <c r="E47">
        <f>(B16+C16)*25+(D16+E16+F16+G16+H16+I16+J16+K16)*18+(L16+M16)*25+E32*18</f>
        <v/>
      </c>
      <c r="G47" t="inlineStr">
        <is>
          <t xml:space="preserve">   - Each operator works 7 hrs: N12:N21 = 7</t>
        </is>
      </c>
    </row>
    <row r="48">
      <c r="A48" t="inlineStr">
        <is>
          <t>Op F</t>
        </is>
      </c>
      <c r="B48">
        <f>N17</f>
        <v/>
      </c>
      <c r="C48">
        <f>E33</f>
        <v/>
      </c>
      <c r="D48">
        <f>B48+C48</f>
        <v/>
      </c>
      <c r="E48">
        <f>(B17+C17)*25+(D17+E17+F17+G17+H17+I17+J17+K17)*18+(L17+M17)*25+E33*18</f>
        <v/>
      </c>
      <c r="G48" t="inlineStr">
        <is>
          <t xml:space="preserve">   - Each operator 1 lunch: E28:E37 = 1</t>
        </is>
      </c>
    </row>
    <row r="49">
      <c r="A49" t="inlineStr">
        <is>
          <t>Op G</t>
        </is>
      </c>
      <c r="B49">
        <f>N18</f>
        <v/>
      </c>
      <c r="C49">
        <f>E34</f>
        <v/>
      </c>
      <c r="D49">
        <f>B49+C49</f>
        <v/>
      </c>
      <c r="E49">
        <f>(B18+C18)*25+(D18+E18+F18+G18+H18+I18+J18+K18)*18+(L18+M18)*25+E34*18</f>
        <v/>
      </c>
      <c r="G49" t="inlineStr">
        <is>
          <t xml:space="preserve">   - Min coverage: B22:M22 &gt;= B23:M23</t>
        </is>
      </c>
    </row>
    <row r="50">
      <c r="A50" t="inlineStr">
        <is>
          <t>Op H</t>
        </is>
      </c>
      <c r="B50">
        <f>N19</f>
        <v/>
      </c>
      <c r="C50">
        <f>E35</f>
        <v/>
      </c>
      <c r="D50">
        <f>B50+C50</f>
        <v/>
      </c>
      <c r="E50">
        <f>(B19+C19)*25+(D19+E19+F19+G19+H19+I19+J19+K19)*18+(L19+M19)*25+E35*18</f>
        <v/>
      </c>
      <c r="G50" t="inlineStr">
        <is>
          <t xml:space="preserve">   - Can't work during lunch:</t>
        </is>
      </c>
    </row>
    <row r="51">
      <c r="A51" t="inlineStr">
        <is>
          <t>Op I</t>
        </is>
      </c>
      <c r="B51">
        <f>N20</f>
        <v/>
      </c>
      <c r="C51">
        <f>E36</f>
        <v/>
      </c>
      <c r="D51">
        <f>B51+C51</f>
        <v/>
      </c>
      <c r="E51">
        <f>(B20+C20)*25+(D20+E20+F20+G20+H20+I20+J20+K20)*18+(L20+M20)*25+E36*18</f>
        <v/>
      </c>
      <c r="G51" t="inlineStr">
        <is>
          <t xml:space="preserve">     For each operator row i (12-21):</t>
        </is>
      </c>
    </row>
    <row r="52">
      <c r="A52" t="inlineStr">
        <is>
          <t>Op J</t>
        </is>
      </c>
      <c r="B52">
        <f>N21</f>
        <v/>
      </c>
      <c r="C52">
        <f>E37</f>
        <v/>
      </c>
      <c r="D52">
        <f>B52+C52</f>
        <v/>
      </c>
      <c r="E52">
        <f>(B21+C21)*25+(D21+E21+F21+G21+H21+I21+J21+K21)*18+(L21+M21)*25+E37*18</f>
        <v/>
      </c>
      <c r="G52" t="inlineStr">
        <is>
          <t xml:space="preserve">     F_i + B_(i+16) &lt;= 1  (11-12PM)</t>
        </is>
      </c>
    </row>
    <row r="53">
      <c r="A53" s="15" t="inlineStr">
        <is>
          <t>TOTAL DAILY COST</t>
        </is>
      </c>
      <c r="E53" s="16">
        <f>SUM(E43:E52)</f>
        <v/>
      </c>
      <c r="G53" t="inlineStr">
        <is>
          <t xml:space="preserve">     G_i + C_(i+16) &lt;= 1  (12-1PM)</t>
        </is>
      </c>
    </row>
    <row r="54">
      <c r="G54" t="inlineStr">
        <is>
          <t xml:space="preserve">     H_i + D_(i+16) &lt;= 1  (1-2PM)</t>
        </is>
      </c>
    </row>
    <row r="55">
      <c r="G55" t="inlineStr">
        <is>
          <t xml:space="preserve">   - Span constraints:</t>
        </is>
      </c>
    </row>
    <row r="56">
      <c r="G56" t="inlineStr">
        <is>
          <t xml:space="preserve">     B12+L12 &lt;= 1, B12+M12 &lt;= 1 (Op A)</t>
        </is>
      </c>
    </row>
    <row r="57">
      <c r="G57" t="inlineStr">
        <is>
          <t xml:space="preserve">     Similar for all operators</t>
        </is>
      </c>
    </row>
    <row r="58">
      <c r="G58" t="inlineStr">
        <is>
          <t xml:space="preserve">   - All variables binary {0,1}</t>
        </is>
      </c>
    </row>
    <row r="59">
      <c r="G59" t="inlineStr"/>
    </row>
    <row r="60">
      <c r="G60" t="inlineStr">
        <is>
          <t>4. Method: Evolutionary/Branch-and-bound</t>
        </is>
      </c>
    </row>
  </sheetData>
  <mergeCells count="7">
    <mergeCell ref="A3:N3"/>
    <mergeCell ref="G25:J25"/>
    <mergeCell ref="A9:O9"/>
    <mergeCell ref="A40:E40"/>
    <mergeCell ref="G40:K40"/>
    <mergeCell ref="A25:F2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2025-12-03T17:57:51Z</dcterms:created>
  <dcterms:modified xmlns:dcterms="http://purl.org/dc/terms/" xmlns:xsi="http://www.w3.org/2001/XMLSchema-instance" xsi:type="dcterms:W3CDTF">2025-12-03T17:57:51Z</dcterms:modified>
</cp:coreProperties>
</file>